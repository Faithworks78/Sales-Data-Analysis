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activeTab="2"/>
  </bookViews>
  <sheets>
    <sheet name="Sheet1" sheetId="1" r:id="rId1"/>
    <sheet name="pivot table" sheetId="2" r:id="rId2"/>
    <sheet name="Dashboard" sheetId="3" r:id="rId3"/>
    <sheet name="UEFA Champions League" sheetId="5" r:id="rId4"/>
  </sheets>
  <definedNames>
    <definedName name="Slicer_Status">#N/A</definedName>
    <definedName name="ExternalData_1" localSheetId="3" hidden="1">'UEFA Champions League'!$A$1:$B$13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UEFA Champions League" description="Connection to the 'UEFA Champions League' query in the workbook." type="5" background="1" refreshedVersion="2" saveData="1">
    <dbPr connection="Provider=Microsoft.Mashup.OleDb.1;Data Source=$Workbook$;Location=&quot;UEFA Champions League&quot;;Extended Properties=&quot;&quot;" command="SELECT * FROM [UEFA Champions League]" commandType="2"/>
  </connection>
</connections>
</file>

<file path=xl/sharedStrings.xml><?xml version="1.0" encoding="utf-8"?>
<sst xmlns="http://schemas.openxmlformats.org/spreadsheetml/2006/main" count="227" uniqueCount="113">
  <si>
    <t>App No</t>
  </si>
  <si>
    <t>FirstName</t>
  </si>
  <si>
    <t>LastName</t>
  </si>
  <si>
    <t>Full Name</t>
  </si>
  <si>
    <t>Date Of Birth</t>
  </si>
  <si>
    <t xml:space="preserve">Age </t>
  </si>
  <si>
    <t>Status</t>
  </si>
  <si>
    <t>Year of Study</t>
  </si>
  <si>
    <t>Faculty</t>
  </si>
  <si>
    <t>Field of Study</t>
  </si>
  <si>
    <t>Degree Type</t>
  </si>
  <si>
    <t>Fees Due</t>
  </si>
  <si>
    <t>Fees Paid</t>
  </si>
  <si>
    <t>%Paid</t>
  </si>
  <si>
    <t>Bruce</t>
  </si>
  <si>
    <t>Baker</t>
  </si>
  <si>
    <t>Under Graduate</t>
  </si>
  <si>
    <t>Arts</t>
  </si>
  <si>
    <t>Accounting</t>
  </si>
  <si>
    <t>Bachelor</t>
  </si>
  <si>
    <t>Clarke</t>
  </si>
  <si>
    <t>Carruthers</t>
  </si>
  <si>
    <t>Economics</t>
  </si>
  <si>
    <t>Chris</t>
  </si>
  <si>
    <t>Bennett</t>
  </si>
  <si>
    <t>Linguistics</t>
  </si>
  <si>
    <t xml:space="preserve">Carol </t>
  </si>
  <si>
    <t>Wardlaw</t>
  </si>
  <si>
    <t>Film &amp; Television</t>
  </si>
  <si>
    <t>Charlotte</t>
  </si>
  <si>
    <t>Green</t>
  </si>
  <si>
    <t>Tom</t>
  </si>
  <si>
    <t>Griffin</t>
  </si>
  <si>
    <t>Colin</t>
  </si>
  <si>
    <t>White</t>
  </si>
  <si>
    <t xml:space="preserve"> Kevin</t>
  </si>
  <si>
    <t>Brooks</t>
  </si>
  <si>
    <t>Post Graduate</t>
  </si>
  <si>
    <t>Education</t>
  </si>
  <si>
    <t>Grad Cert</t>
  </si>
  <si>
    <t>Caroline</t>
  </si>
  <si>
    <t>Watson</t>
  </si>
  <si>
    <t>Mason</t>
  </si>
  <si>
    <t>Somers</t>
  </si>
  <si>
    <t xml:space="preserve">Jasmine </t>
  </si>
  <si>
    <t>Lee</t>
  </si>
  <si>
    <t xml:space="preserve">Zenab </t>
  </si>
  <si>
    <t>Umar</t>
  </si>
  <si>
    <t>Matt</t>
  </si>
  <si>
    <t>Marcum</t>
  </si>
  <si>
    <t>Thomas</t>
  </si>
  <si>
    <t>Baxter</t>
  </si>
  <si>
    <t>Faris</t>
  </si>
  <si>
    <t>Pandeya</t>
  </si>
  <si>
    <t>Maura</t>
  </si>
  <si>
    <t>Hadeley</t>
  </si>
  <si>
    <t>Daisy</t>
  </si>
  <si>
    <t>Turnbull</t>
  </si>
  <si>
    <t>Journalism</t>
  </si>
  <si>
    <t>Joseph</t>
  </si>
  <si>
    <t>Cooper</t>
  </si>
  <si>
    <t>James</t>
  </si>
  <si>
    <t>Klein</t>
  </si>
  <si>
    <t>Arts (Masters)</t>
  </si>
  <si>
    <t>Philosophy</t>
  </si>
  <si>
    <t>Masters</t>
  </si>
  <si>
    <t>Sue</t>
  </si>
  <si>
    <t>Thomson</t>
  </si>
  <si>
    <t>Joe</t>
  </si>
  <si>
    <t>Diamond</t>
  </si>
  <si>
    <t>Adrian</t>
  </si>
  <si>
    <t>Fisher</t>
  </si>
  <si>
    <t>Tim</t>
  </si>
  <si>
    <t>Warren</t>
  </si>
  <si>
    <t>Johan</t>
  </si>
  <si>
    <t>Singh</t>
  </si>
  <si>
    <t>Lynn</t>
  </si>
  <si>
    <t>Walker</t>
  </si>
  <si>
    <t xml:space="preserve">Duncan </t>
  </si>
  <si>
    <t>Spencer</t>
  </si>
  <si>
    <t>Row Labels</t>
  </si>
  <si>
    <t>Total Fees Due</t>
  </si>
  <si>
    <t>Grand Total</t>
  </si>
  <si>
    <t>Total Fees Paid</t>
  </si>
  <si>
    <t>Total fee paid by Dept</t>
  </si>
  <si>
    <t>Num of Stu by Dept</t>
  </si>
  <si>
    <t>Sum of Fees Paid</t>
  </si>
  <si>
    <t>Total No of Stu</t>
  </si>
  <si>
    <t>Column1</t>
  </si>
  <si>
    <t>Column2</t>
  </si>
  <si>
    <t/>
  </si>
  <si>
    <t>Organiser(s)</t>
  </si>
  <si>
    <t>UEFA</t>
  </si>
  <si>
    <t>Founded</t>
  </si>
  <si>
    <t>1955; 71 years ago (1955)(rebranded in 1992)</t>
  </si>
  <si>
    <t>Region</t>
  </si>
  <si>
    <t>Europe</t>
  </si>
  <si>
    <t>Teams</t>
  </si>
  <si>
    <t>36 (league phase)81 (total)</t>
  </si>
  <si>
    <t>Qualifier for</t>
  </si>
  <si>
    <t>UEFA Super CupFIFA Intercontinental CupFIFA Club World Cup</t>
  </si>
  <si>
    <t>Related competitions</t>
  </si>
  <si>
    <t>UEFA Europa League (2nd tier)UEFA Conference League(3rd tier)UEFA Youth League(Youth competition)</t>
  </si>
  <si>
    <t>Current champions</t>
  </si>
  <si>
    <t>Paris Saint-Germain(1st title)</t>
  </si>
  <si>
    <t>Most championships</t>
  </si>
  <si>
    <t>Real Madrid (15 titles)</t>
  </si>
  <si>
    <t>Broadcasters</t>
  </si>
  <si>
    <t>List of broadcasters</t>
  </si>
  <si>
    <t xml:space="preserve">  </t>
  </si>
  <si>
    <t>Website</t>
  </si>
  <si>
    <t>uefa.com/uefachampionsleague</t>
  </si>
  <si>
    <t>2025–26 UEFA Champions League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</si>
</sst>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₦&quot;* #,##0.00_-;\-&quot;₦&quot;* #,##0.00_-;_-&quot;₦&quot;* &quot;-&quot;??_-;_-@_-"/>
    <numFmt numFmtId="178" formatCode="_ * #,##0_ ;_ * \-#,##0_ ;_ * &quot;-&quot;_ ;_ @_ "/>
    <numFmt numFmtId="179" formatCode="_-&quot;$&quot;* #,##0_-;\-&quot;$&quot;* #,##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7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58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58" fontId="0" fillId="0" borderId="0" xfId="0" applyNumberFormat="1"/>
    <xf numFmtId="179" fontId="0" fillId="0" borderId="0" xfId="2" applyNumberFormat="1" applyFont="1"/>
    <xf numFmtId="9" fontId="0" fillId="0" borderId="0" xfId="3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alignment horizontal="center"/>
    </dxf>
    <dxf>
      <numFmt numFmtId="0" formatCode="General"/>
    </dxf>
    <dxf>
      <numFmt numFmtId="180" formatCode="dd/mm/yyyy"/>
      <alignment horizontal="center"/>
    </dxf>
    <dxf>
      <numFmt numFmtId="1" formatCode="0"/>
      <alignment horizontal="center"/>
    </dxf>
    <dxf>
      <alignment horizontal="center"/>
    </dxf>
    <dxf>
      <numFmt numFmtId="181" formatCode="dd/mm/yyyy"/>
    </dxf>
    <dxf>
      <alignment horizont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&quot;$&quot;* #,##0_-;\-&quot;$&quot;* #,##0_-;_-&quot;$&quot;* &quot;-&quot;??_-;_-@_-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&quot;$&quot;* #,##0_-;\-&quot;$&quot;* #,##0_-;_-&quot;$&quot;* &quot;-&quot;??_-;_-@_-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table'!$A$12:$A$14</c:f>
              <c:strCache>
                <c:ptCount val="2"/>
                <c:pt idx="0">
                  <c:v>Arts</c:v>
                </c:pt>
                <c:pt idx="1">
                  <c:v>Arts (Masters)</c:v>
                </c:pt>
              </c:strCache>
            </c:strRef>
          </c:cat>
          <c:val>
            <c:numRef>
              <c:f>'pivot table'!$B$12:$B$14</c:f>
              <c:numCache>
                <c:formatCode>_-"$"* #,##0_-;\-"$"* #,##0_-;_-"$"* "-"??_-;_-@_-</c:formatCode>
                <c:ptCount val="2"/>
                <c:pt idx="0">
                  <c:v>153633</c:v>
                </c:pt>
                <c:pt idx="1">
                  <c:v>39350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986008-c662-4c10-8faa-2940570881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>
                <a:latin typeface="Comic Sans MS" panose="030F0702030302020204" pitchFamily="66" charset="0"/>
              </a:rPr>
              <a:t>Total Fee Paid</a:t>
            </a:r>
            <a:endParaRPr lang="en-US" sz="1700">
              <a:latin typeface="Comic Sans MS" panose="030F0702030302020204" pitchFamily="66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Arts</c:v>
                </c:pt>
                <c:pt idx="1">
                  <c:v>Arts (Masters)</c:v>
                </c:pt>
              </c:strCache>
            </c:strRef>
          </c:cat>
          <c:val>
            <c:numRef>
              <c:f>'pivot table'!$B$4:$B$6</c:f>
              <c:numCache>
                <c:formatCode>_-"$"* #,##0_-;\-"$"* #,##0_-;_-"$"* "-"??_-;_-@_-</c:formatCode>
                <c:ptCount val="2"/>
                <c:pt idx="0">
                  <c:v>196515</c:v>
                </c:pt>
                <c:pt idx="1">
                  <c:v>48800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c8ffdc-8148-475e-9eff-474b0b98b21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 fee paid by Dept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table'!$A$21:$A$28</c:f>
              <c:strCache>
                <c:ptCount val="7"/>
                <c:pt idx="0">
                  <c:v>Accounting</c:v>
                </c:pt>
                <c:pt idx="1">
                  <c:v>Economics</c:v>
                </c:pt>
                <c:pt idx="2">
                  <c:v>Education</c:v>
                </c:pt>
                <c:pt idx="3">
                  <c:v>Film &amp; Television</c:v>
                </c:pt>
                <c:pt idx="4">
                  <c:v>Journalism</c:v>
                </c:pt>
                <c:pt idx="5">
                  <c:v>Linguistics</c:v>
                </c:pt>
                <c:pt idx="6">
                  <c:v>Philosophy</c:v>
                </c:pt>
              </c:strCache>
            </c:strRef>
          </c:cat>
          <c:val>
            <c:numRef>
              <c:f>'pivot table'!$B$21:$B$28</c:f>
              <c:numCache>
                <c:formatCode>_-"$"* #,##0_-;\-"$"* #,##0_-;_-"$"* "-"??_-;_-@_-</c:formatCode>
                <c:ptCount val="7"/>
                <c:pt idx="0">
                  <c:v>7500</c:v>
                </c:pt>
                <c:pt idx="1">
                  <c:v>2600</c:v>
                </c:pt>
                <c:pt idx="2">
                  <c:v>17174</c:v>
                </c:pt>
                <c:pt idx="3">
                  <c:v>99143</c:v>
                </c:pt>
                <c:pt idx="4">
                  <c:v>6521</c:v>
                </c:pt>
                <c:pt idx="5">
                  <c:v>20695</c:v>
                </c:pt>
                <c:pt idx="6">
                  <c:v>39350</c:v>
                </c:pt>
              </c:numCache>
            </c:numRef>
          </c:val>
        </c:ser>
        <c:ser>
          <c:idx val="1"/>
          <c:order val="1"/>
          <c:tx>
            <c:strRef>
              <c:f>'pivot table'!$C$20</c:f>
              <c:strCache>
                <c:ptCount val="1"/>
                <c:pt idx="0">
                  <c:v>Num of Stu by Dept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table'!$A$21:$A$28</c:f>
              <c:strCache>
                <c:ptCount val="7"/>
                <c:pt idx="0">
                  <c:v>Accounting</c:v>
                </c:pt>
                <c:pt idx="1">
                  <c:v>Economics</c:v>
                </c:pt>
                <c:pt idx="2">
                  <c:v>Education</c:v>
                </c:pt>
                <c:pt idx="3">
                  <c:v>Film &amp; Television</c:v>
                </c:pt>
                <c:pt idx="4">
                  <c:v>Journalism</c:v>
                </c:pt>
                <c:pt idx="5">
                  <c:v>Linguistics</c:v>
                </c:pt>
                <c:pt idx="6">
                  <c:v>Philosophy</c:v>
                </c:pt>
              </c:strCache>
            </c:strRef>
          </c:cat>
          <c:val>
            <c:numRef>
              <c:f>'pivot table'!$C$21:$C$28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272144"/>
        <c:axId val="1282267344"/>
      </c:barChart>
      <c:catAx>
        <c:axId val="12822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2267344"/>
        <c:crosses val="autoZero"/>
        <c:auto val="1"/>
        <c:lblAlgn val="ctr"/>
        <c:lblOffset val="100"/>
        <c:noMultiLvlLbl val="0"/>
      </c:catAx>
      <c:valAx>
        <c:axId val="128226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22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3a6f1a-03d8-4a61-ab6e-ece65acf9e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fee paid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table'!$B$30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Bachelor</c:v>
                </c:pt>
                <c:pt idx="1">
                  <c:v>Grad Cert</c:v>
                </c:pt>
                <c:pt idx="2">
                  <c:v>Masters</c:v>
                </c:pt>
              </c:strCache>
            </c:strRef>
          </c:cat>
          <c:val>
            <c:numRef>
              <c:f>'pivot table'!$B$31:$B$34</c:f>
              <c:numCache>
                <c:formatCode>_-"$"* #,##0_-;\-"$"* #,##0_-;_-"$"* "-"??_-;_-@_-</c:formatCode>
                <c:ptCount val="3"/>
                <c:pt idx="0">
                  <c:v>136459</c:v>
                </c:pt>
                <c:pt idx="1">
                  <c:v>17174</c:v>
                </c:pt>
                <c:pt idx="2">
                  <c:v>39350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bfab47-7c48-493f-abb8-56742af297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table!PivotTable3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 fee paid by Dept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table'!$A$21:$A$28</c:f>
              <c:strCache>
                <c:ptCount val="7"/>
                <c:pt idx="0">
                  <c:v>Accounting</c:v>
                </c:pt>
                <c:pt idx="1">
                  <c:v>Economics</c:v>
                </c:pt>
                <c:pt idx="2">
                  <c:v>Education</c:v>
                </c:pt>
                <c:pt idx="3">
                  <c:v>Film &amp; Television</c:v>
                </c:pt>
                <c:pt idx="4">
                  <c:v>Journalism</c:v>
                </c:pt>
                <c:pt idx="5">
                  <c:v>Linguistics</c:v>
                </c:pt>
                <c:pt idx="6">
                  <c:v>Philosophy</c:v>
                </c:pt>
              </c:strCache>
            </c:strRef>
          </c:cat>
          <c:val>
            <c:numRef>
              <c:f>'pivot table'!$B$21:$B$28</c:f>
              <c:numCache>
                <c:formatCode>_-"$"* #,##0_-;\-"$"* #,##0_-;_-"$"* "-"??_-;_-@_-</c:formatCode>
                <c:ptCount val="7"/>
                <c:pt idx="0">
                  <c:v>7500</c:v>
                </c:pt>
                <c:pt idx="1">
                  <c:v>2600</c:v>
                </c:pt>
                <c:pt idx="2">
                  <c:v>17174</c:v>
                </c:pt>
                <c:pt idx="3">
                  <c:v>99143</c:v>
                </c:pt>
                <c:pt idx="4">
                  <c:v>6521</c:v>
                </c:pt>
                <c:pt idx="5">
                  <c:v>20695</c:v>
                </c:pt>
                <c:pt idx="6">
                  <c:v>39350</c:v>
                </c:pt>
              </c:numCache>
            </c:numRef>
          </c:val>
        </c:ser>
        <c:ser>
          <c:idx val="1"/>
          <c:order val="1"/>
          <c:tx>
            <c:strRef>
              <c:f>'pivot table'!$C$20</c:f>
              <c:strCache>
                <c:ptCount val="1"/>
                <c:pt idx="0">
                  <c:v>Num of Stu by Dept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table'!$A$21:$A$28</c:f>
              <c:strCache>
                <c:ptCount val="7"/>
                <c:pt idx="0">
                  <c:v>Accounting</c:v>
                </c:pt>
                <c:pt idx="1">
                  <c:v>Economics</c:v>
                </c:pt>
                <c:pt idx="2">
                  <c:v>Education</c:v>
                </c:pt>
                <c:pt idx="3">
                  <c:v>Film &amp; Television</c:v>
                </c:pt>
                <c:pt idx="4">
                  <c:v>Journalism</c:v>
                </c:pt>
                <c:pt idx="5">
                  <c:v>Linguistics</c:v>
                </c:pt>
                <c:pt idx="6">
                  <c:v>Philosophy</c:v>
                </c:pt>
              </c:strCache>
            </c:strRef>
          </c:cat>
          <c:val>
            <c:numRef>
              <c:f>'pivot table'!$C$21:$C$28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272144"/>
        <c:axId val="1282267344"/>
      </c:barChart>
      <c:catAx>
        <c:axId val="12822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2267344"/>
        <c:crosses val="autoZero"/>
        <c:auto val="1"/>
        <c:lblAlgn val="ctr"/>
        <c:lblOffset val="100"/>
        <c:noMultiLvlLbl val="0"/>
      </c:catAx>
      <c:valAx>
        <c:axId val="128226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22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abaae0-0ff0-4661-abde-a84a1ecc4e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table'!$A$12:$A$14</c:f>
              <c:strCache>
                <c:ptCount val="2"/>
                <c:pt idx="0">
                  <c:v>Arts</c:v>
                </c:pt>
                <c:pt idx="1">
                  <c:v>Arts (Masters)</c:v>
                </c:pt>
              </c:strCache>
            </c:strRef>
          </c:cat>
          <c:val>
            <c:numRef>
              <c:f>'pivot table'!$B$12:$B$14</c:f>
              <c:numCache>
                <c:formatCode>_-"$"* #,##0_-;\-"$"* #,##0_-;_-"$"* "-"??_-;_-@_-</c:formatCode>
                <c:ptCount val="2"/>
                <c:pt idx="0">
                  <c:v>153633</c:v>
                </c:pt>
                <c:pt idx="1">
                  <c:v>39350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205d64-3b4c-428c-9a98-49dbbe77be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Fee Paid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Arts</c:v>
                </c:pt>
                <c:pt idx="1">
                  <c:v>Arts (Masters)</c:v>
                </c:pt>
              </c:strCache>
            </c:strRef>
          </c:cat>
          <c:val>
            <c:numRef>
              <c:f>'pivot table'!$B$4:$B$6</c:f>
              <c:numCache>
                <c:formatCode>_-"$"* #,##0_-;\-"$"* #,##0_-;_-"$"* "-"??_-;_-@_-</c:formatCode>
                <c:ptCount val="2"/>
                <c:pt idx="0">
                  <c:v>196515</c:v>
                </c:pt>
                <c:pt idx="1">
                  <c:v>48800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696ccb-32cd-4661-b4e6-397e919151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fee paid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table'!$B$30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Bachelor</c:v>
                </c:pt>
                <c:pt idx="1">
                  <c:v>Grad Cert</c:v>
                </c:pt>
                <c:pt idx="2">
                  <c:v>Masters</c:v>
                </c:pt>
              </c:strCache>
            </c:strRef>
          </c:cat>
          <c:val>
            <c:numRef>
              <c:f>'pivot table'!$B$31:$B$34</c:f>
              <c:numCache>
                <c:formatCode>_-"$"* #,##0_-;\-"$"* #,##0_-;_-"$"* "-"??_-;_-@_-</c:formatCode>
                <c:ptCount val="3"/>
                <c:pt idx="0">
                  <c:v>136459</c:v>
                </c:pt>
                <c:pt idx="1">
                  <c:v>17174</c:v>
                </c:pt>
                <c:pt idx="2">
                  <c:v>39350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8bd2eb-71e1-4b62-8765-7a185f7666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365760</xdr:colOff>
      <xdr:row>11</xdr:row>
      <xdr:rowOff>160020</xdr:rowOff>
    </xdr:from>
    <xdr:to>
      <xdr:col>8</xdr:col>
      <xdr:colOff>304800</xdr:colOff>
      <xdr:row>22</xdr:row>
      <xdr:rowOff>7620</xdr:rowOff>
    </xdr:to>
    <xdr:graphicFrame>
      <xdr:nvGraphicFramePr>
        <xdr:cNvPr id="4" name="Chart 3"/>
        <xdr:cNvGraphicFramePr/>
      </xdr:nvGraphicFramePr>
      <xdr:xfrm>
        <a:off x="3573780" y="2171700"/>
        <a:ext cx="3025140" cy="18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297180</xdr:colOff>
      <xdr:row>0</xdr:row>
      <xdr:rowOff>0</xdr:rowOff>
    </xdr:from>
    <xdr:to>
      <xdr:col>7</xdr:col>
      <xdr:colOff>541020</xdr:colOff>
      <xdr:row>11</xdr:row>
      <xdr:rowOff>68580</xdr:rowOff>
    </xdr:to>
    <xdr:graphicFrame>
      <xdr:nvGraphicFramePr>
        <xdr:cNvPr id="5" name="Chart 4"/>
        <xdr:cNvGraphicFramePr/>
      </xdr:nvGraphicFramePr>
      <xdr:xfrm>
        <a:off x="2286000" y="0"/>
        <a:ext cx="3931920" cy="2080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243840</xdr:colOff>
      <xdr:row>0</xdr:row>
      <xdr:rowOff>156210</xdr:rowOff>
    </xdr:from>
    <xdr:to>
      <xdr:col>16</xdr:col>
      <xdr:colOff>548640</xdr:colOff>
      <xdr:row>15</xdr:row>
      <xdr:rowOff>156210</xdr:rowOff>
    </xdr:to>
    <xdr:graphicFrame>
      <xdr:nvGraphicFramePr>
        <xdr:cNvPr id="7" name="Chart 6"/>
        <xdr:cNvGraphicFramePr/>
      </xdr:nvGraphicFramePr>
      <xdr:xfrm>
        <a:off x="7155180" y="15621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586740</xdr:colOff>
      <xdr:row>30</xdr:row>
      <xdr:rowOff>80010</xdr:rowOff>
    </xdr:from>
    <xdr:to>
      <xdr:col>11</xdr:col>
      <xdr:colOff>281940</xdr:colOff>
      <xdr:row>45</xdr:row>
      <xdr:rowOff>80010</xdr:rowOff>
    </xdr:to>
    <xdr:graphicFrame>
      <xdr:nvGraphicFramePr>
        <xdr:cNvPr id="8" name="Chart 7"/>
        <xdr:cNvGraphicFramePr/>
      </xdr:nvGraphicFramePr>
      <xdr:xfrm>
        <a:off x="3794760" y="556641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152400</xdr:colOff>
      <xdr:row>0</xdr:row>
      <xdr:rowOff>0</xdr:rowOff>
    </xdr:from>
    <xdr:to>
      <xdr:col>21</xdr:col>
      <xdr:colOff>152400</xdr:colOff>
      <xdr:row>13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18720" y="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22860</xdr:rowOff>
    </xdr:from>
    <xdr:to>
      <xdr:col>24</xdr:col>
      <xdr:colOff>99060</xdr:colOff>
      <xdr:row>3</xdr:row>
      <xdr:rowOff>76200</xdr:rowOff>
    </xdr:to>
    <xdr:sp>
      <xdr:nvSpPr>
        <xdr:cNvPr id="2" name="TextBox 1"/>
        <xdr:cNvSpPr txBox="1"/>
      </xdr:nvSpPr>
      <xdr:spPr>
        <a:xfrm>
          <a:off x="0" y="22860"/>
          <a:ext cx="14729460" cy="60198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latin typeface="Comic Sans MS" panose="030F0702030302020204" pitchFamily="66" charset="0"/>
            </a:rPr>
            <a:t>STUDENT'S DASHBOARD</a:t>
          </a:r>
          <a:endParaRPr lang="en-US" sz="3200" b="1"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0</xdr:col>
      <xdr:colOff>0</xdr:colOff>
      <xdr:row>3</xdr:row>
      <xdr:rowOff>104776</xdr:rowOff>
    </xdr:from>
    <xdr:to>
      <xdr:col>7</xdr:col>
      <xdr:colOff>312420</xdr:colOff>
      <xdr:row>10</xdr:row>
      <xdr:rowOff>175035</xdr:rowOff>
    </xdr:to>
    <xdr:sp textlink="'pivot table'!A39">
      <xdr:nvSpPr>
        <xdr:cNvPr id="3" name="Rectangle 2"/>
        <xdr:cNvSpPr/>
      </xdr:nvSpPr>
      <xdr:spPr>
        <a:xfrm>
          <a:off x="0" y="653415"/>
          <a:ext cx="4579620" cy="135001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B962C8B-B14F-4D97-AF65-F5344CB8AC3E}" type="TxLink">
            <a:rPr lang="en-US" sz="32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  <a:ea typeface="Calibri" panose="020F0502020204030204"/>
              <a:cs typeface="Calibri" panose="020F0502020204030204"/>
            </a:rPr>
            <a:t>26</a:t>
          </a:fld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7</xdr:col>
      <xdr:colOff>291026</xdr:colOff>
      <xdr:row>3</xdr:row>
      <xdr:rowOff>104775</xdr:rowOff>
    </xdr:from>
    <xdr:to>
      <xdr:col>16</xdr:col>
      <xdr:colOff>98323</xdr:colOff>
      <xdr:row>11</xdr:row>
      <xdr:rowOff>323</xdr:rowOff>
    </xdr:to>
    <xdr:sp>
      <xdr:nvSpPr>
        <xdr:cNvPr id="5" name="Rectangle 4"/>
        <xdr:cNvSpPr/>
      </xdr:nvSpPr>
      <xdr:spPr>
        <a:xfrm>
          <a:off x="4558030" y="653415"/>
          <a:ext cx="5293360" cy="1358265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TOTAL FEES</a:t>
          </a:r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 PAID</a:t>
          </a:r>
          <a:endParaRPr lang="en-US" sz="1800" b="1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  <a:p>
          <a:pPr algn="ctr"/>
          <a:endParaRPr lang="en-US" sz="1800" b="1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  <a:p>
          <a:pPr algn="ctr"/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$192,983</a:t>
          </a:r>
          <a:endParaRPr lang="en-US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16</xdr:col>
      <xdr:colOff>550545</xdr:colOff>
      <xdr:row>3</xdr:row>
      <xdr:rowOff>86995</xdr:rowOff>
    </xdr:from>
    <xdr:to>
      <xdr:col>24</xdr:col>
      <xdr:colOff>100330</xdr:colOff>
      <xdr:row>10</xdr:row>
      <xdr:rowOff>108585</xdr:rowOff>
    </xdr:to>
    <xdr:sp>
      <xdr:nvSpPr>
        <xdr:cNvPr id="7" name="Rectangle 6"/>
        <xdr:cNvSpPr/>
      </xdr:nvSpPr>
      <xdr:spPr>
        <a:xfrm>
          <a:off x="10304145" y="635635"/>
          <a:ext cx="4426585" cy="13017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TOTAL FEES DUE</a:t>
          </a:r>
          <a:endParaRPr lang="en-US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  <a:p>
          <a:pPr algn="ctr"/>
          <a:endParaRPr lang="en-US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  <a:p>
          <a:pPr algn="ctr"/>
          <a:r>
            <a:rPr lang="en-US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  $245,315</a:t>
          </a:r>
          <a:endParaRPr lang="en-US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0</xdr:col>
      <xdr:colOff>270934</xdr:colOff>
      <xdr:row>3</xdr:row>
      <xdr:rowOff>167876</xdr:rowOff>
    </xdr:from>
    <xdr:to>
      <xdr:col>7</xdr:col>
      <xdr:colOff>206554</xdr:colOff>
      <xdr:row>7</xdr:row>
      <xdr:rowOff>111159</xdr:rowOff>
    </xdr:to>
    <xdr:sp>
      <xdr:nvSpPr>
        <xdr:cNvPr id="9" name="Rectangle 8"/>
        <xdr:cNvSpPr/>
      </xdr:nvSpPr>
      <xdr:spPr>
        <a:xfrm>
          <a:off x="270510" y="716280"/>
          <a:ext cx="4203065" cy="67500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all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</a:t>
          </a:r>
          <a:r>
            <a:rPr lang="en-US" sz="1600" b="1" cap="all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 </a:t>
          </a:r>
          <a:r>
            <a:rPr lang="en-US" sz="1800" b="1" cap="all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omic Sans MS" panose="030F0702030302020204" pitchFamily="66" charset="0"/>
            </a:rPr>
            <a:t>No. of Students</a:t>
          </a:r>
          <a:endParaRPr lang="en-US" sz="1800" b="1" cap="all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7</xdr:col>
      <xdr:colOff>388990</xdr:colOff>
      <xdr:row>12</xdr:row>
      <xdr:rowOff>99304</xdr:rowOff>
    </xdr:from>
    <xdr:to>
      <xdr:col>16</xdr:col>
      <xdr:colOff>130893</xdr:colOff>
      <xdr:row>27</xdr:row>
      <xdr:rowOff>56228</xdr:rowOff>
    </xdr:to>
    <xdr:graphicFrame>
      <xdr:nvGraphicFramePr>
        <xdr:cNvPr id="11" name="Chart 10"/>
        <xdr:cNvGraphicFramePr/>
      </xdr:nvGraphicFramePr>
      <xdr:xfrm>
        <a:off x="4655820" y="2293620"/>
        <a:ext cx="5228590" cy="2700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36195</xdr:colOff>
      <xdr:row>28</xdr:row>
      <xdr:rowOff>99695</xdr:rowOff>
    </xdr:from>
    <xdr:to>
      <xdr:col>7</xdr:col>
      <xdr:colOff>349885</xdr:colOff>
      <xdr:row>45</xdr:row>
      <xdr:rowOff>168275</xdr:rowOff>
    </xdr:to>
    <xdr:graphicFrame>
      <xdr:nvGraphicFramePr>
        <xdr:cNvPr id="13" name="Chart 12"/>
        <xdr:cNvGraphicFramePr/>
      </xdr:nvGraphicFramePr>
      <xdr:xfrm>
        <a:off x="36195" y="5220335"/>
        <a:ext cx="4580890" cy="3177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67902</xdr:colOff>
      <xdr:row>12</xdr:row>
      <xdr:rowOff>57621</xdr:rowOff>
    </xdr:from>
    <xdr:to>
      <xdr:col>24</xdr:col>
      <xdr:colOff>98323</xdr:colOff>
      <xdr:row>27</xdr:row>
      <xdr:rowOff>57150</xdr:rowOff>
    </xdr:to>
    <xdr:graphicFrame>
      <xdr:nvGraphicFramePr>
        <xdr:cNvPr id="15" name="Chart 14"/>
        <xdr:cNvGraphicFramePr/>
      </xdr:nvGraphicFramePr>
      <xdr:xfrm>
        <a:off x="9820910" y="2251710"/>
        <a:ext cx="4907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85725</xdr:rowOff>
    </xdr:from>
    <xdr:to>
      <xdr:col>7</xdr:col>
      <xdr:colOff>304800</xdr:colOff>
      <xdr:row>27</xdr:row>
      <xdr:rowOff>85725</xdr:rowOff>
    </xdr:to>
    <xdr:graphicFrame>
      <xdr:nvGraphicFramePr>
        <xdr:cNvPr id="20" name="Chart 19"/>
        <xdr:cNvGraphicFramePr/>
      </xdr:nvGraphicFramePr>
      <xdr:xfrm>
        <a:off x="0" y="228028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64.6609027778" refreshedBy="HP ELITEBOOK" recordCount="26">
  <cacheSource type="worksheet">
    <worksheetSource name="Table1"/>
  </cacheSource>
  <cacheFields count="14">
    <cacheField name="App No" numFmtId="0"/>
    <cacheField name="FirstName" numFmtId="0"/>
    <cacheField name="LastName" numFmtId="0"/>
    <cacheField name="Full Name" numFmtId="0"/>
    <cacheField name="Date Of Birth" numFmtId="58"/>
    <cacheField name="Age " numFmtId="1"/>
    <cacheField name="Status" numFmtId="0">
      <sharedItems count="2">
        <s v="Under Graduate"/>
        <s v="Post Graduate"/>
      </sharedItems>
    </cacheField>
    <cacheField name="Year of Study" numFmtId="0"/>
    <cacheField name="Faculty" numFmtId="0">
      <sharedItems count="2">
        <s v="Arts"/>
        <s v="Arts (Masters)"/>
      </sharedItems>
    </cacheField>
    <cacheField name="Field of Study" numFmtId="58">
      <sharedItems count="7">
        <s v="Accounting"/>
        <s v="Economics"/>
        <s v="Linguistics"/>
        <s v="Film &amp; Television"/>
        <s v="Education"/>
        <s v="Journalism"/>
        <s v="Philosophy"/>
      </sharedItems>
    </cacheField>
    <cacheField name="Degree Type" numFmtId="0">
      <sharedItems count="3">
        <s v="Bachelor"/>
        <s v="Grad Cert"/>
        <s v="Masters"/>
      </sharedItems>
    </cacheField>
    <cacheField name="Fees Due" numFmtId="179"/>
    <cacheField name="Fees Paid" numFmtId="179"/>
    <cacheField name="%Paid" numFmtId="9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"/>
    <s v="Bruce"/>
    <s v="Baker"/>
    <s v="Bruce Baker"/>
    <d v="1999-07-07T00:00:00"/>
    <m/>
    <x v="0"/>
    <n v="1"/>
    <x v="0"/>
    <x v="0"/>
    <x v="0"/>
    <n v="9000"/>
    <n v="7500"/>
    <n v="0.83333333333333337"/>
  </r>
  <r>
    <n v="3"/>
    <s v="Clarke"/>
    <s v="Carruthers"/>
    <s v="Clarke Carruthers"/>
    <d v="1994-03-04T00:00:00"/>
    <m/>
    <x v="0"/>
    <n v="2"/>
    <x v="0"/>
    <x v="1"/>
    <x v="0"/>
    <n v="8200"/>
    <n v="2600"/>
    <n v="0.31707317073170732"/>
  </r>
  <r>
    <n v="4"/>
    <s v="Chris"/>
    <s v="Bennett"/>
    <s v="Chris Bennett"/>
    <d v="1991-11-02T00:00:00"/>
    <m/>
    <x v="0"/>
    <n v="1"/>
    <x v="0"/>
    <x v="2"/>
    <x v="0"/>
    <n v="8695"/>
    <n v="8695"/>
    <n v="1"/>
  </r>
  <r>
    <n v="5"/>
    <s v="Carol "/>
    <s v="Wardlaw"/>
    <s v="Carol  Wardlaw"/>
    <d v="1996-12-21T00:00:00"/>
    <m/>
    <x v="0"/>
    <n v="3"/>
    <x v="0"/>
    <x v="3"/>
    <x v="0"/>
    <n v="9715"/>
    <n v="9500"/>
    <n v="0.97786927431806481"/>
  </r>
  <r>
    <n v="7"/>
    <s v="Charlotte"/>
    <s v="Green"/>
    <s v="Charlotte Green"/>
    <d v="1997-04-04T00:00:00"/>
    <m/>
    <x v="0"/>
    <n v="2"/>
    <x v="0"/>
    <x v="3"/>
    <x v="0"/>
    <n v="9715"/>
    <n v="9715"/>
    <n v="1"/>
  </r>
  <r>
    <n v="10"/>
    <s v="Tom"/>
    <s v="Griffin"/>
    <s v="Tom Griffin"/>
    <d v="1991-10-18T00:00:00"/>
    <m/>
    <x v="0"/>
    <n v="2"/>
    <x v="0"/>
    <x v="3"/>
    <x v="0"/>
    <n v="9715"/>
    <n v="9715"/>
    <n v="1"/>
  </r>
  <r>
    <n v="12"/>
    <s v="Colin"/>
    <s v="White"/>
    <s v="Colin White"/>
    <d v="1998-11-29T00:00:00"/>
    <m/>
    <x v="0"/>
    <n v="3"/>
    <x v="0"/>
    <x v="3"/>
    <x v="0"/>
    <n v="9715"/>
    <n v="4596"/>
    <n v="0.47308286155429746"/>
  </r>
  <r>
    <n v="13"/>
    <s v=" Kevin"/>
    <s v="Brooks"/>
    <s v=" Kevin Brooks"/>
    <d v="1994-03-02T00:00:00"/>
    <m/>
    <x v="1"/>
    <n v="1"/>
    <x v="0"/>
    <x v="4"/>
    <x v="1"/>
    <n v="9600"/>
    <n v="4587"/>
    <n v="0.47781249999999997"/>
  </r>
  <r>
    <n v="15"/>
    <s v="Caroline"/>
    <s v="Watson"/>
    <s v="Caroline Watson"/>
    <d v="1997-04-22T00:00:00"/>
    <m/>
    <x v="0"/>
    <n v="3"/>
    <x v="0"/>
    <x v="3"/>
    <x v="0"/>
    <n v="9715"/>
    <n v="9715"/>
    <n v="1"/>
  </r>
  <r>
    <n v="16"/>
    <s v="Mason"/>
    <s v="Somers"/>
    <s v="Mason Somers"/>
    <d v="1994-07-08T00:00:00"/>
    <m/>
    <x v="1"/>
    <n v="1"/>
    <x v="0"/>
    <x v="4"/>
    <x v="1"/>
    <n v="9600"/>
    <n v="8000"/>
    <n v="0.83333333333333337"/>
  </r>
  <r>
    <n v="17"/>
    <s v="Jasmine "/>
    <s v="Lee"/>
    <s v="Jasmine  Lee"/>
    <d v="1991-11-03T00:00:00"/>
    <m/>
    <x v="0"/>
    <n v="2"/>
    <x v="0"/>
    <x v="2"/>
    <x v="0"/>
    <n v="8695"/>
    <n v="7500"/>
    <n v="0.86256469235192634"/>
  </r>
  <r>
    <n v="19"/>
    <s v="Zenab "/>
    <s v="Umar"/>
    <s v="Zenab  Umar"/>
    <d v="1991-11-04T00:00:00"/>
    <m/>
    <x v="0"/>
    <n v="2"/>
    <x v="0"/>
    <x v="3"/>
    <x v="0"/>
    <n v="9715"/>
    <n v="9715"/>
    <n v="1"/>
  </r>
  <r>
    <n v="20"/>
    <s v="Matt"/>
    <s v="Marcum"/>
    <s v="Matt Marcum"/>
    <d v="1977-08-13T00:00:00"/>
    <m/>
    <x v="0"/>
    <n v="3"/>
    <x v="0"/>
    <x v="3"/>
    <x v="0"/>
    <n v="9715"/>
    <n v="7200"/>
    <n v="0.74112197632527022"/>
  </r>
  <r>
    <n v="21"/>
    <s v="Thomas"/>
    <s v="Baxter"/>
    <s v="Thomas Baxter"/>
    <d v="1992-05-23T00:00:00"/>
    <m/>
    <x v="1"/>
    <n v="1"/>
    <x v="0"/>
    <x v="4"/>
    <x v="1"/>
    <n v="9600"/>
    <n v="4587"/>
    <n v="0.47781249999999997"/>
  </r>
  <r>
    <n v="22"/>
    <s v="Faris"/>
    <s v="Pandeya"/>
    <s v="Faris Pandeya"/>
    <d v="1991-12-10T00:00:00"/>
    <m/>
    <x v="0"/>
    <n v="2"/>
    <x v="0"/>
    <x v="2"/>
    <x v="0"/>
    <n v="8695"/>
    <n v="4500"/>
    <n v="0.51753881541115587"/>
  </r>
  <r>
    <n v="23"/>
    <s v="Maura"/>
    <s v="Hadeley"/>
    <s v="Maura Hadeley"/>
    <d v="1997-03-04T00:00:00"/>
    <m/>
    <x v="0"/>
    <n v="3"/>
    <x v="0"/>
    <x v="3"/>
    <x v="0"/>
    <n v="9715"/>
    <n v="6731"/>
    <n v="0.69284611425630471"/>
  </r>
  <r>
    <n v="26"/>
    <s v="Daisy"/>
    <s v="Turnbull"/>
    <s v="Daisy Turnbull"/>
    <d v="1992-09-20T00:00:00"/>
    <m/>
    <x v="0"/>
    <n v="2"/>
    <x v="0"/>
    <x v="5"/>
    <x v="0"/>
    <n v="7850"/>
    <n v="6521"/>
    <n v="0.83070063694267515"/>
  </r>
  <r>
    <n v="28"/>
    <s v="Joseph"/>
    <s v="Cooper"/>
    <s v="Joseph Cooper"/>
    <d v="1998-09-19T00:00:00"/>
    <m/>
    <x v="0"/>
    <n v="1"/>
    <x v="0"/>
    <x v="3"/>
    <x v="0"/>
    <n v="9715"/>
    <n v="7458"/>
    <n v="0.76767884714359236"/>
  </r>
  <r>
    <n v="29"/>
    <s v="James"/>
    <s v="Klein"/>
    <s v="James Klein"/>
    <d v="1999-09-23T00:00:00"/>
    <m/>
    <x v="1"/>
    <n v="2"/>
    <x v="1"/>
    <x v="6"/>
    <x v="2"/>
    <n v="9760"/>
    <n v="8745"/>
    <n v="0.89600409836065575"/>
  </r>
  <r>
    <n v="32"/>
    <s v="Sue"/>
    <s v="Thomson"/>
    <s v="Sue Thomson"/>
    <d v="1979-01-22T00:00:00"/>
    <m/>
    <x v="1"/>
    <n v="1"/>
    <x v="1"/>
    <x v="6"/>
    <x v="2"/>
    <n v="9760"/>
    <n v="7400"/>
    <n v="0.75819672131147542"/>
  </r>
  <r>
    <n v="33"/>
    <s v="Joe"/>
    <s v="Diamond"/>
    <s v="Joe Diamond"/>
    <d v="1988-03-03T00:00:00"/>
    <m/>
    <x v="1"/>
    <n v="2"/>
    <x v="1"/>
    <x v="6"/>
    <x v="2"/>
    <n v="9760"/>
    <n v="9760"/>
    <n v="1"/>
  </r>
  <r>
    <n v="34"/>
    <s v="Adrian"/>
    <s v="Fisher"/>
    <s v="Adrian Fisher"/>
    <d v="1996-10-11T00:00:00"/>
    <m/>
    <x v="0"/>
    <n v="3"/>
    <x v="0"/>
    <x v="3"/>
    <x v="0"/>
    <n v="9715"/>
    <n v="9715"/>
    <n v="1"/>
  </r>
  <r>
    <n v="35"/>
    <s v="Tim"/>
    <s v="Warren"/>
    <s v="Tim Warren"/>
    <d v="1991-11-01T00:00:00"/>
    <m/>
    <x v="1"/>
    <n v="2"/>
    <x v="1"/>
    <x v="6"/>
    <x v="2"/>
    <n v="9760"/>
    <n v="9760"/>
    <n v="1"/>
  </r>
  <r>
    <n v="37"/>
    <s v="Johan"/>
    <s v="Singh"/>
    <s v="Johan Singh"/>
    <d v="1993-12-10T00:00:00"/>
    <m/>
    <x v="1"/>
    <n v="2"/>
    <x v="1"/>
    <x v="6"/>
    <x v="2"/>
    <n v="9760"/>
    <n v="3685"/>
    <n v="0.37756147540983609"/>
  </r>
  <r>
    <n v="45"/>
    <s v="Lynn"/>
    <s v="Walker"/>
    <s v="Lynn Walker"/>
    <d v="1998-04-24T00:00:00"/>
    <m/>
    <x v="0"/>
    <n v="3"/>
    <x v="0"/>
    <x v="3"/>
    <x v="0"/>
    <n v="9715"/>
    <n v="6520"/>
    <n v="0.67112712300566135"/>
  </r>
  <r>
    <n v="47"/>
    <s v="Duncan "/>
    <s v="Spencer"/>
    <s v="Duncan  Spencer"/>
    <d v="1999-10-25T00:00:00"/>
    <m/>
    <x v="0"/>
    <n v="1"/>
    <x v="0"/>
    <x v="3"/>
    <x v="0"/>
    <n v="9715"/>
    <n v="8563"/>
    <n v="0.881420483787956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30:B34" firstHeaderRow="1" firstDataRow="1" firstDataCol="1"/>
  <pivotFields count="14">
    <pivotField showAll="0"/>
    <pivotField showAll="0"/>
    <pivotField showAll="0"/>
    <pivotField showAll="0"/>
    <pivotField numFmtId="58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79" showAll="0"/>
    <pivotField dataField="1" numFmtId="179" showAll="0"/>
    <pivotField numFmtId="9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ees Paid" fld="12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20:C28" firstHeaderRow="0" firstDataRow="1" firstDataCol="1"/>
  <pivotFields count="14">
    <pivotField showAll="0"/>
    <pivotField showAll="0"/>
    <pivotField showAll="0"/>
    <pivotField dataField="1" showAll="0"/>
    <pivotField numFmtId="58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8">
        <item x="0"/>
        <item x="1"/>
        <item x="4"/>
        <item x="3"/>
        <item x="5"/>
        <item x="2"/>
        <item x="6"/>
        <item t="default"/>
      </items>
    </pivotField>
    <pivotField showAll="0"/>
    <pivotField numFmtId="179" showAll="0"/>
    <pivotField dataField="1" numFmtId="179" showAll="0"/>
    <pivotField numFmtId="9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fee paid by Dept" fld="12" baseField="9" baseItem="0" numFmtId="179"/>
    <dataField name="Num of Stu by Dept" fld="3" subtotal="count" baseField="9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11:B14" firstHeaderRow="1" firstDataRow="1" firstDataCol="1"/>
  <pivotFields count="14">
    <pivotField showAll="0"/>
    <pivotField showAll="0"/>
    <pivotField showAll="0"/>
    <pivotField showAll="0"/>
    <pivotField numFmtId="58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79" showAll="0"/>
    <pivotField dataField="1" numFmtId="179" showAll="0"/>
    <pivotField numFmtId="9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Total Fees Paid" fld="12" baseField="8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46:A47" firstHeaderRow="1" firstDataRow="1" firstDataCol="0"/>
  <pivotFields count="14">
    <pivotField showAll="0"/>
    <pivotField showAll="0"/>
    <pivotField showAll="0"/>
    <pivotField showAll="0"/>
    <pivotField numFmtId="58" showAll="0"/>
    <pivotField showAll="0"/>
    <pivotField showAll="0"/>
    <pivotField showAll="0"/>
    <pivotField showAll="0"/>
    <pivotField showAll="0"/>
    <pivotField showAll="0"/>
    <pivotField dataField="1" numFmtId="179" showAll="0"/>
    <pivotField numFmtId="179" showAll="0"/>
    <pivotField numFmtId="9" showAll="0"/>
  </pivotFields>
  <dataFields count="1">
    <dataField name="Total Fees Due" fld="11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42:A43" firstHeaderRow="1" firstDataRow="1" firstDataCol="0"/>
  <pivotFields count="14">
    <pivotField showAll="0"/>
    <pivotField showAll="0"/>
    <pivotField showAll="0"/>
    <pivotField showAll="0"/>
    <pivotField numFmtId="58" showAll="0"/>
    <pivotField showAll="0"/>
    <pivotField showAll="0"/>
    <pivotField showAll="0"/>
    <pivotField showAll="0"/>
    <pivotField showAll="0"/>
    <pivotField showAll="0"/>
    <pivotField numFmtId="179" showAll="0"/>
    <pivotField dataField="1" numFmtId="179" showAll="0"/>
    <pivotField numFmtId="9" showAll="0"/>
  </pivotFields>
  <dataFields count="1">
    <dataField name="Total Fees Paid" fld="12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A3:B6" firstHeaderRow="1" firstDataRow="1" firstDataCol="1"/>
  <pivotFields count="14">
    <pivotField showAll="0"/>
    <pivotField showAll="0"/>
    <pivotField showAll="0"/>
    <pivotField showAll="0"/>
    <pivotField numFmtId="58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dataField="1" numFmtId="179" showAll="0"/>
    <pivotField numFmtId="179" showAll="0"/>
    <pivotField numFmtId="9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Total Fees Due" fld="11" baseField="8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7:A38" firstHeaderRow="1" firstDataRow="1" firstDataCol="0"/>
  <pivotFields count="14">
    <pivotField showAll="0"/>
    <pivotField showAll="0"/>
    <pivotField showAll="0"/>
    <pivotField dataField="1" showAll="0"/>
    <pivotField numFmtId="58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79" showAll="0"/>
    <pivotField numFmtId="179" showAll="0"/>
    <pivotField numFmtId="9" showAll="0"/>
  </pivotFields>
  <dataFields count="1">
    <dataField name="Total No of Stu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Column1" tableColumnId="1"/>
      <queryTableField id="2" name="Column2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2" name="PivotTable1"/>
    <pivotTable tabId="2" name="PivotTable2"/>
    <pivotTable tabId="2" name="PivotTable3"/>
    <pivotTable tabId="2" name="PivotTable5"/>
    <pivotTable tabId="2" name="PivotTable6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us" cache="Slicer_Status" caption="Status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N27" totalsRowShown="0">
  <autoFilter xmlns:etc="http://www.wps.cn/officeDocument/2017/etCustomData" ref="A1:N27" etc:filterBottomFollowUsedRange="0"/>
  <tableColumns count="14">
    <tableColumn id="1" name="App No" dataDxfId="0"/>
    <tableColumn id="2" name="FirstName"/>
    <tableColumn id="3" name="LastName"/>
    <tableColumn id="27" name="Full Name" dataDxfId="1">
      <calculatedColumnFormula>CONCATENATE(Table1[[#This Row],[FirstName]]," ",Table1[[#This Row],[LastName]])</calculatedColumnFormula>
    </tableColumn>
    <tableColumn id="4" name="Date Of Birth" dataDxfId="2"/>
    <tableColumn id="5" name="Age " dataDxfId="3"/>
    <tableColumn id="6" name="Status"/>
    <tableColumn id="7" name="Year of Study" dataDxfId="4"/>
    <tableColumn id="8" name="Faculty"/>
    <tableColumn id="9" name="Field of Study" dataDxfId="5"/>
    <tableColumn id="10" name="Degree Type" dataDxfId="6"/>
    <tableColumn id="11" name="Fees Due" dataDxfId="7"/>
    <tableColumn id="12" name="Fees Paid" dataDxfId="8"/>
    <tableColumn id="13" name="%Paid" dataDxfId="9">
      <calculatedColumnFormula>M2/L2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EFA_Champions_League" displayName="UEFA_Champions_League" ref="A1:B13" tableType="queryTable" totalsRowShown="0">
  <autoFilter xmlns:etc="http://www.wps.cn/officeDocument/2017/etCustomData" ref="A1:B13" etc:filterBottomFollowUsedRange="0"/>
  <tableColumns count="2">
    <tableColumn id="1" name="Column1" uniqueName="1" queryTableFieldId="1" dataDxfId="10"/>
    <tableColumn id="2" name="Column2" uniqueName="2" queryTableFieldId="2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opLeftCell="A2" workbookViewId="0">
      <selection activeCell="A2" sqref="A2"/>
    </sheetView>
  </sheetViews>
  <sheetFormatPr defaultColWidth="9" defaultRowHeight="14.4"/>
  <cols>
    <col min="1" max="1" width="11.7777777777778" customWidth="1"/>
    <col min="2" max="2" width="13.8888888888889" customWidth="1"/>
    <col min="3" max="3" width="13.7777777777778" customWidth="1"/>
    <col min="4" max="4" width="15.2222222222222" customWidth="1"/>
    <col min="5" max="5" width="16.2222222222222" customWidth="1"/>
    <col min="6" max="6" width="9.11111111111111" customWidth="1"/>
    <col min="7" max="7" width="14.1111111111111" customWidth="1"/>
    <col min="8" max="8" width="16.6666666666667" customWidth="1"/>
    <col min="9" max="9" width="12.3333333333333" customWidth="1"/>
    <col min="10" max="10" width="16.8888888888889" customWidth="1"/>
    <col min="11" max="11" width="15.8888888888889" customWidth="1"/>
    <col min="12" max="12" width="10.6666666666667" customWidth="1"/>
    <col min="13" max="13" width="11" customWidth="1"/>
    <col min="14" max="14" width="10.5555555555556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4" t="s">
        <v>10</v>
      </c>
      <c r="L1" s="9" t="s">
        <v>11</v>
      </c>
      <c r="M1" s="9" t="s">
        <v>12</v>
      </c>
      <c r="N1" s="4" t="s">
        <v>13</v>
      </c>
    </row>
    <row r="2" spans="1:14">
      <c r="A2" s="5">
        <v>2</v>
      </c>
      <c r="B2" t="s">
        <v>14</v>
      </c>
      <c r="C2" t="s">
        <v>15</v>
      </c>
      <c r="D2" t="str">
        <f>CONCATENATE(Table1[[#This Row],[FirstName]]," ",Table1[[#This Row],[LastName]])</f>
        <v>Bruce Baker</v>
      </c>
      <c r="E2" s="6">
        <v>36348</v>
      </c>
      <c r="F2" s="7"/>
      <c r="G2" t="s">
        <v>16</v>
      </c>
      <c r="H2" s="5">
        <v>1</v>
      </c>
      <c r="I2" t="s">
        <v>17</v>
      </c>
      <c r="J2" s="10" t="s">
        <v>18</v>
      </c>
      <c r="K2" s="5" t="s">
        <v>19</v>
      </c>
      <c r="L2" s="11">
        <v>9000</v>
      </c>
      <c r="M2" s="11">
        <v>7500</v>
      </c>
      <c r="N2" s="12">
        <f>M2/L2</f>
        <v>0.833333333333333</v>
      </c>
    </row>
    <row r="3" spans="1:14">
      <c r="A3" s="5">
        <v>3</v>
      </c>
      <c r="B3" t="s">
        <v>20</v>
      </c>
      <c r="C3" t="s">
        <v>21</v>
      </c>
      <c r="D3" t="str">
        <f>CONCATENATE(Table1[[#This Row],[FirstName]]," ",Table1[[#This Row],[LastName]])</f>
        <v>Clarke Carruthers</v>
      </c>
      <c r="E3" s="6">
        <v>34397</v>
      </c>
      <c r="F3" s="7"/>
      <c r="G3" t="s">
        <v>16</v>
      </c>
      <c r="H3" s="5">
        <v>2</v>
      </c>
      <c r="I3" t="s">
        <v>17</v>
      </c>
      <c r="J3" s="10" t="s">
        <v>22</v>
      </c>
      <c r="K3" s="5" t="s">
        <v>19</v>
      </c>
      <c r="L3" s="11">
        <v>8200</v>
      </c>
      <c r="M3" s="11">
        <v>2600</v>
      </c>
      <c r="N3" s="12">
        <f t="shared" ref="N3:N27" si="0">M3/L3</f>
        <v>0.317073170731707</v>
      </c>
    </row>
    <row r="4" spans="1:14">
      <c r="A4" s="5">
        <v>4</v>
      </c>
      <c r="B4" t="s">
        <v>23</v>
      </c>
      <c r="C4" t="s">
        <v>24</v>
      </c>
      <c r="D4" t="str">
        <f>CONCATENATE(Table1[[#This Row],[FirstName]]," ",Table1[[#This Row],[LastName]])</f>
        <v>Chris Bennett</v>
      </c>
      <c r="E4" s="6">
        <v>33544</v>
      </c>
      <c r="F4" s="7"/>
      <c r="G4" t="s">
        <v>16</v>
      </c>
      <c r="H4" s="5">
        <v>1</v>
      </c>
      <c r="I4" t="s">
        <v>17</v>
      </c>
      <c r="J4" s="10" t="s">
        <v>25</v>
      </c>
      <c r="K4" s="5" t="s">
        <v>19</v>
      </c>
      <c r="L4" s="11">
        <v>8695</v>
      </c>
      <c r="M4" s="11">
        <v>8695</v>
      </c>
      <c r="N4" s="12">
        <f t="shared" si="0"/>
        <v>1</v>
      </c>
    </row>
    <row r="5" spans="1:14">
      <c r="A5" s="5">
        <v>5</v>
      </c>
      <c r="B5" t="s">
        <v>26</v>
      </c>
      <c r="C5" t="s">
        <v>27</v>
      </c>
      <c r="D5" t="str">
        <f>CONCATENATE(Table1[[#This Row],[FirstName]]," ",Table1[[#This Row],[LastName]])</f>
        <v>Carol  Wardlaw</v>
      </c>
      <c r="E5" s="6">
        <v>35420</v>
      </c>
      <c r="F5" s="7"/>
      <c r="G5" t="s">
        <v>16</v>
      </c>
      <c r="H5" s="5">
        <v>3</v>
      </c>
      <c r="I5" t="s">
        <v>17</v>
      </c>
      <c r="J5" s="10" t="s">
        <v>28</v>
      </c>
      <c r="K5" s="5" t="s">
        <v>19</v>
      </c>
      <c r="L5" s="11">
        <v>9715</v>
      </c>
      <c r="M5" s="11">
        <v>9500</v>
      </c>
      <c r="N5" s="12">
        <f t="shared" si="0"/>
        <v>0.977869274318065</v>
      </c>
    </row>
    <row r="6" spans="1:14">
      <c r="A6" s="5">
        <v>7</v>
      </c>
      <c r="B6" t="s">
        <v>29</v>
      </c>
      <c r="C6" t="s">
        <v>30</v>
      </c>
      <c r="D6" t="str">
        <f>CONCATENATE(Table1[[#This Row],[FirstName]]," ",Table1[[#This Row],[LastName]])</f>
        <v>Charlotte Green</v>
      </c>
      <c r="E6" s="6">
        <v>35524</v>
      </c>
      <c r="F6" s="7"/>
      <c r="G6" t="s">
        <v>16</v>
      </c>
      <c r="H6" s="5">
        <v>2</v>
      </c>
      <c r="I6" t="s">
        <v>17</v>
      </c>
      <c r="J6" s="10" t="s">
        <v>28</v>
      </c>
      <c r="K6" s="5" t="s">
        <v>19</v>
      </c>
      <c r="L6" s="11">
        <v>9715</v>
      </c>
      <c r="M6" s="11">
        <v>9715</v>
      </c>
      <c r="N6" s="12">
        <f t="shared" si="0"/>
        <v>1</v>
      </c>
    </row>
    <row r="7" spans="1:14">
      <c r="A7" s="5">
        <v>10</v>
      </c>
      <c r="B7" t="s">
        <v>31</v>
      </c>
      <c r="C7" t="s">
        <v>32</v>
      </c>
      <c r="D7" t="str">
        <f>CONCATENATE(Table1[[#This Row],[FirstName]]," ",Table1[[#This Row],[LastName]])</f>
        <v>Tom Griffin</v>
      </c>
      <c r="E7" s="6">
        <v>33529</v>
      </c>
      <c r="F7" s="7"/>
      <c r="G7" t="s">
        <v>16</v>
      </c>
      <c r="H7" s="5">
        <v>2</v>
      </c>
      <c r="I7" t="s">
        <v>17</v>
      </c>
      <c r="J7" s="10" t="s">
        <v>28</v>
      </c>
      <c r="K7" s="5" t="s">
        <v>19</v>
      </c>
      <c r="L7" s="11">
        <v>9715</v>
      </c>
      <c r="M7" s="11">
        <v>9715</v>
      </c>
      <c r="N7" s="12">
        <f t="shared" si="0"/>
        <v>1</v>
      </c>
    </row>
    <row r="8" spans="1:14">
      <c r="A8" s="5">
        <v>12</v>
      </c>
      <c r="B8" t="s">
        <v>33</v>
      </c>
      <c r="C8" t="s">
        <v>34</v>
      </c>
      <c r="D8" t="str">
        <f>CONCATENATE(Table1[[#This Row],[FirstName]]," ",Table1[[#This Row],[LastName]])</f>
        <v>Colin White</v>
      </c>
      <c r="E8" s="6">
        <v>36128</v>
      </c>
      <c r="F8" s="7"/>
      <c r="G8" t="s">
        <v>16</v>
      </c>
      <c r="H8" s="5">
        <v>3</v>
      </c>
      <c r="I8" t="s">
        <v>17</v>
      </c>
      <c r="J8" s="10" t="s">
        <v>28</v>
      </c>
      <c r="K8" s="5" t="s">
        <v>19</v>
      </c>
      <c r="L8" s="11">
        <v>9715</v>
      </c>
      <c r="M8" s="11">
        <v>4596</v>
      </c>
      <c r="N8" s="12">
        <f t="shared" si="0"/>
        <v>0.473082861554297</v>
      </c>
    </row>
    <row r="9" spans="1:14">
      <c r="A9" s="5">
        <v>13</v>
      </c>
      <c r="B9" t="s">
        <v>35</v>
      </c>
      <c r="C9" t="s">
        <v>36</v>
      </c>
      <c r="D9" t="str">
        <f>CONCATENATE(Table1[[#This Row],[FirstName]]," ",Table1[[#This Row],[LastName]])</f>
        <v> Kevin Brooks</v>
      </c>
      <c r="E9" s="6">
        <v>34395</v>
      </c>
      <c r="F9" s="7"/>
      <c r="G9" t="s">
        <v>37</v>
      </c>
      <c r="H9" s="5">
        <v>1</v>
      </c>
      <c r="I9" t="s">
        <v>17</v>
      </c>
      <c r="J9" s="10" t="s">
        <v>38</v>
      </c>
      <c r="K9" s="5" t="s">
        <v>39</v>
      </c>
      <c r="L9" s="11">
        <v>9600</v>
      </c>
      <c r="M9" s="11">
        <v>4587</v>
      </c>
      <c r="N9" s="12">
        <f t="shared" si="0"/>
        <v>0.4778125</v>
      </c>
    </row>
    <row r="10" spans="1:14">
      <c r="A10" s="5">
        <v>15</v>
      </c>
      <c r="B10" t="s">
        <v>40</v>
      </c>
      <c r="C10" t="s">
        <v>41</v>
      </c>
      <c r="D10" t="str">
        <f>CONCATENATE(Table1[[#This Row],[FirstName]]," ",Table1[[#This Row],[LastName]])</f>
        <v>Caroline Watson</v>
      </c>
      <c r="E10" s="6">
        <v>35542</v>
      </c>
      <c r="F10" s="7"/>
      <c r="G10" t="s">
        <v>16</v>
      </c>
      <c r="H10" s="5">
        <v>3</v>
      </c>
      <c r="I10" t="s">
        <v>17</v>
      </c>
      <c r="J10" s="10" t="s">
        <v>28</v>
      </c>
      <c r="K10" s="5" t="s">
        <v>19</v>
      </c>
      <c r="L10" s="11">
        <v>9715</v>
      </c>
      <c r="M10" s="11">
        <v>9715</v>
      </c>
      <c r="N10" s="12">
        <f t="shared" si="0"/>
        <v>1</v>
      </c>
    </row>
    <row r="11" spans="1:14">
      <c r="A11" s="5">
        <v>16</v>
      </c>
      <c r="B11" t="s">
        <v>42</v>
      </c>
      <c r="C11" t="s">
        <v>43</v>
      </c>
      <c r="D11" t="str">
        <f>CONCATENATE(Table1[[#This Row],[FirstName]]," ",Table1[[#This Row],[LastName]])</f>
        <v>Mason Somers</v>
      </c>
      <c r="E11" s="6">
        <v>34523</v>
      </c>
      <c r="F11" s="7"/>
      <c r="G11" t="s">
        <v>37</v>
      </c>
      <c r="H11" s="5">
        <v>1</v>
      </c>
      <c r="I11" t="s">
        <v>17</v>
      </c>
      <c r="J11" s="10" t="s">
        <v>38</v>
      </c>
      <c r="K11" s="5" t="s">
        <v>39</v>
      </c>
      <c r="L11" s="11">
        <v>9600</v>
      </c>
      <c r="M11" s="11">
        <v>8000</v>
      </c>
      <c r="N11" s="12">
        <f t="shared" si="0"/>
        <v>0.833333333333333</v>
      </c>
    </row>
    <row r="12" spans="1:14">
      <c r="A12" s="5">
        <v>17</v>
      </c>
      <c r="B12" t="s">
        <v>44</v>
      </c>
      <c r="C12" t="s">
        <v>45</v>
      </c>
      <c r="D12" t="str">
        <f>CONCATENATE(Table1[[#This Row],[FirstName]]," ",Table1[[#This Row],[LastName]])</f>
        <v>Jasmine  Lee</v>
      </c>
      <c r="E12" s="6">
        <v>33545</v>
      </c>
      <c r="F12" s="7"/>
      <c r="G12" t="s">
        <v>16</v>
      </c>
      <c r="H12" s="5">
        <v>2</v>
      </c>
      <c r="I12" t="s">
        <v>17</v>
      </c>
      <c r="J12" s="10" t="s">
        <v>25</v>
      </c>
      <c r="K12" s="5" t="s">
        <v>19</v>
      </c>
      <c r="L12" s="11">
        <v>8695</v>
      </c>
      <c r="M12" s="11">
        <v>7500</v>
      </c>
      <c r="N12" s="12">
        <f t="shared" si="0"/>
        <v>0.862564692351926</v>
      </c>
    </row>
    <row r="13" spans="1:14">
      <c r="A13" s="5">
        <v>19</v>
      </c>
      <c r="B13" t="s">
        <v>46</v>
      </c>
      <c r="C13" t="s">
        <v>47</v>
      </c>
      <c r="D13" t="str">
        <f>CONCATENATE(Table1[[#This Row],[FirstName]]," ",Table1[[#This Row],[LastName]])</f>
        <v>Zenab  Umar</v>
      </c>
      <c r="E13" s="6">
        <v>33546</v>
      </c>
      <c r="F13" s="7"/>
      <c r="G13" t="s">
        <v>16</v>
      </c>
      <c r="H13" s="5">
        <v>2</v>
      </c>
      <c r="I13" t="s">
        <v>17</v>
      </c>
      <c r="J13" s="10" t="s">
        <v>28</v>
      </c>
      <c r="K13" s="5" t="s">
        <v>19</v>
      </c>
      <c r="L13" s="11">
        <v>9715</v>
      </c>
      <c r="M13" s="11">
        <v>9715</v>
      </c>
      <c r="N13" s="12">
        <f t="shared" si="0"/>
        <v>1</v>
      </c>
    </row>
    <row r="14" spans="1:14">
      <c r="A14" s="5">
        <v>20</v>
      </c>
      <c r="B14" t="s">
        <v>48</v>
      </c>
      <c r="C14" t="s">
        <v>49</v>
      </c>
      <c r="D14" t="str">
        <f>CONCATENATE(Table1[[#This Row],[FirstName]]," ",Table1[[#This Row],[LastName]])</f>
        <v>Matt Marcum</v>
      </c>
      <c r="E14" s="6">
        <v>28350</v>
      </c>
      <c r="F14" s="7"/>
      <c r="G14" t="s">
        <v>16</v>
      </c>
      <c r="H14" s="5">
        <v>3</v>
      </c>
      <c r="I14" t="s">
        <v>17</v>
      </c>
      <c r="J14" s="10" t="s">
        <v>28</v>
      </c>
      <c r="K14" s="5" t="s">
        <v>19</v>
      </c>
      <c r="L14" s="11">
        <v>9715</v>
      </c>
      <c r="M14" s="11">
        <v>7200</v>
      </c>
      <c r="N14" s="12">
        <f t="shared" si="0"/>
        <v>0.74112197632527</v>
      </c>
    </row>
    <row r="15" spans="1:14">
      <c r="A15" s="5">
        <v>21</v>
      </c>
      <c r="B15" t="s">
        <v>50</v>
      </c>
      <c r="C15" t="s">
        <v>51</v>
      </c>
      <c r="D15" t="str">
        <f>CONCATENATE(Table1[[#This Row],[FirstName]]," ",Table1[[#This Row],[LastName]])</f>
        <v>Thomas Baxter</v>
      </c>
      <c r="E15" s="6">
        <v>33747</v>
      </c>
      <c r="F15" s="7"/>
      <c r="G15" t="s">
        <v>37</v>
      </c>
      <c r="H15" s="5">
        <v>1</v>
      </c>
      <c r="I15" t="s">
        <v>17</v>
      </c>
      <c r="J15" s="10" t="s">
        <v>38</v>
      </c>
      <c r="K15" s="5" t="s">
        <v>39</v>
      </c>
      <c r="L15" s="11">
        <v>9600</v>
      </c>
      <c r="M15" s="11">
        <v>4587</v>
      </c>
      <c r="N15" s="12">
        <f t="shared" si="0"/>
        <v>0.4778125</v>
      </c>
    </row>
    <row r="16" spans="1:14">
      <c r="A16" s="5">
        <v>22</v>
      </c>
      <c r="B16" t="s">
        <v>52</v>
      </c>
      <c r="C16" t="s">
        <v>53</v>
      </c>
      <c r="D16" t="str">
        <f>CONCATENATE(Table1[[#This Row],[FirstName]]," ",Table1[[#This Row],[LastName]])</f>
        <v>Faris Pandeya</v>
      </c>
      <c r="E16" s="6">
        <v>33582</v>
      </c>
      <c r="F16" s="7"/>
      <c r="G16" t="s">
        <v>16</v>
      </c>
      <c r="H16" s="5">
        <v>2</v>
      </c>
      <c r="I16" t="s">
        <v>17</v>
      </c>
      <c r="J16" s="10" t="s">
        <v>25</v>
      </c>
      <c r="K16" s="5" t="s">
        <v>19</v>
      </c>
      <c r="L16" s="11">
        <v>8695</v>
      </c>
      <c r="M16" s="11">
        <v>4500</v>
      </c>
      <c r="N16" s="12">
        <f t="shared" si="0"/>
        <v>0.517538815411156</v>
      </c>
    </row>
    <row r="17" spans="1:14">
      <c r="A17" s="5">
        <v>23</v>
      </c>
      <c r="B17" t="s">
        <v>54</v>
      </c>
      <c r="C17" t="s">
        <v>55</v>
      </c>
      <c r="D17" t="str">
        <f>CONCATENATE(Table1[[#This Row],[FirstName]]," ",Table1[[#This Row],[LastName]])</f>
        <v>Maura Hadeley</v>
      </c>
      <c r="E17" s="6">
        <v>35493</v>
      </c>
      <c r="F17" s="7"/>
      <c r="G17" t="s">
        <v>16</v>
      </c>
      <c r="H17" s="5">
        <v>3</v>
      </c>
      <c r="I17" t="s">
        <v>17</v>
      </c>
      <c r="J17" s="10" t="s">
        <v>28</v>
      </c>
      <c r="K17" s="5" t="s">
        <v>19</v>
      </c>
      <c r="L17" s="11">
        <v>9715</v>
      </c>
      <c r="M17" s="11">
        <v>6731</v>
      </c>
      <c r="N17" s="12">
        <f t="shared" si="0"/>
        <v>0.692846114256305</v>
      </c>
    </row>
    <row r="18" spans="1:14">
      <c r="A18" s="5">
        <v>26</v>
      </c>
      <c r="B18" t="s">
        <v>56</v>
      </c>
      <c r="C18" t="s">
        <v>57</v>
      </c>
      <c r="D18" t="str">
        <f>CONCATENATE(Table1[[#This Row],[FirstName]]," ",Table1[[#This Row],[LastName]])</f>
        <v>Daisy Turnbull</v>
      </c>
      <c r="E18" s="6">
        <v>33867</v>
      </c>
      <c r="F18" s="7"/>
      <c r="G18" t="s">
        <v>16</v>
      </c>
      <c r="H18" s="5">
        <v>2</v>
      </c>
      <c r="I18" t="s">
        <v>17</v>
      </c>
      <c r="J18" s="10" t="s">
        <v>58</v>
      </c>
      <c r="K18" s="5" t="s">
        <v>19</v>
      </c>
      <c r="L18" s="11">
        <v>7850</v>
      </c>
      <c r="M18" s="11">
        <v>6521</v>
      </c>
      <c r="N18" s="12">
        <f t="shared" si="0"/>
        <v>0.830700636942675</v>
      </c>
    </row>
    <row r="19" spans="1:14">
      <c r="A19" s="5">
        <v>28</v>
      </c>
      <c r="B19" t="s">
        <v>59</v>
      </c>
      <c r="C19" t="s">
        <v>60</v>
      </c>
      <c r="D19" t="str">
        <f>CONCATENATE(Table1[[#This Row],[FirstName]]," ",Table1[[#This Row],[LastName]])</f>
        <v>Joseph Cooper</v>
      </c>
      <c r="E19" s="6">
        <v>36057</v>
      </c>
      <c r="F19" s="7"/>
      <c r="G19" t="s">
        <v>16</v>
      </c>
      <c r="H19" s="5">
        <v>1</v>
      </c>
      <c r="I19" t="s">
        <v>17</v>
      </c>
      <c r="J19" s="10" t="s">
        <v>28</v>
      </c>
      <c r="K19" s="5" t="s">
        <v>19</v>
      </c>
      <c r="L19" s="11">
        <v>9715</v>
      </c>
      <c r="M19" s="11">
        <v>7458</v>
      </c>
      <c r="N19" s="12">
        <f t="shared" si="0"/>
        <v>0.767678847143592</v>
      </c>
    </row>
    <row r="20" spans="1:14">
      <c r="A20" s="5">
        <v>29</v>
      </c>
      <c r="B20" t="s">
        <v>61</v>
      </c>
      <c r="C20" t="s">
        <v>62</v>
      </c>
      <c r="D20" t="str">
        <f>CONCATENATE(Table1[[#This Row],[FirstName]]," ",Table1[[#This Row],[LastName]])</f>
        <v>James Klein</v>
      </c>
      <c r="E20" s="6">
        <v>36426</v>
      </c>
      <c r="F20" s="7"/>
      <c r="G20" t="s">
        <v>37</v>
      </c>
      <c r="H20" s="5">
        <v>2</v>
      </c>
      <c r="I20" t="s">
        <v>63</v>
      </c>
      <c r="J20" s="10" t="s">
        <v>64</v>
      </c>
      <c r="K20" s="5" t="s">
        <v>65</v>
      </c>
      <c r="L20" s="11">
        <v>9760</v>
      </c>
      <c r="M20" s="11">
        <v>8745</v>
      </c>
      <c r="N20" s="12">
        <f t="shared" si="0"/>
        <v>0.896004098360656</v>
      </c>
    </row>
    <row r="21" spans="1:14">
      <c r="A21" s="5">
        <v>32</v>
      </c>
      <c r="B21" t="s">
        <v>66</v>
      </c>
      <c r="C21" t="s">
        <v>67</v>
      </c>
      <c r="D21" t="str">
        <f>CONCATENATE(Table1[[#This Row],[FirstName]]," ",Table1[[#This Row],[LastName]])</f>
        <v>Sue Thomson</v>
      </c>
      <c r="E21" s="6">
        <v>28877</v>
      </c>
      <c r="F21" s="7"/>
      <c r="G21" t="s">
        <v>37</v>
      </c>
      <c r="H21" s="5">
        <v>1</v>
      </c>
      <c r="I21" t="s">
        <v>63</v>
      </c>
      <c r="J21" s="10" t="s">
        <v>64</v>
      </c>
      <c r="K21" s="5" t="s">
        <v>65</v>
      </c>
      <c r="L21" s="11">
        <v>9760</v>
      </c>
      <c r="M21" s="11">
        <v>7400</v>
      </c>
      <c r="N21" s="12">
        <f t="shared" si="0"/>
        <v>0.758196721311475</v>
      </c>
    </row>
    <row r="22" spans="1:14">
      <c r="A22" s="5">
        <v>33</v>
      </c>
      <c r="B22" t="s">
        <v>68</v>
      </c>
      <c r="C22" t="s">
        <v>69</v>
      </c>
      <c r="D22" t="str">
        <f>CONCATENATE(Table1[[#This Row],[FirstName]]," ",Table1[[#This Row],[LastName]])</f>
        <v>Joe Diamond</v>
      </c>
      <c r="E22" s="6">
        <v>32205</v>
      </c>
      <c r="F22" s="7"/>
      <c r="G22" t="s">
        <v>37</v>
      </c>
      <c r="H22" s="5">
        <v>2</v>
      </c>
      <c r="I22" t="s">
        <v>63</v>
      </c>
      <c r="J22" s="10" t="s">
        <v>64</v>
      </c>
      <c r="K22" s="5" t="s">
        <v>65</v>
      </c>
      <c r="L22" s="11">
        <v>9760</v>
      </c>
      <c r="M22" s="11">
        <v>9760</v>
      </c>
      <c r="N22" s="12">
        <f t="shared" si="0"/>
        <v>1</v>
      </c>
    </row>
    <row r="23" spans="1:14">
      <c r="A23" s="5">
        <v>34</v>
      </c>
      <c r="B23" t="s">
        <v>70</v>
      </c>
      <c r="C23" t="s">
        <v>71</v>
      </c>
      <c r="D23" t="str">
        <f>CONCATENATE(Table1[[#This Row],[FirstName]]," ",Table1[[#This Row],[LastName]])</f>
        <v>Adrian Fisher</v>
      </c>
      <c r="E23" s="6">
        <v>35349</v>
      </c>
      <c r="F23" s="7"/>
      <c r="G23" t="s">
        <v>16</v>
      </c>
      <c r="H23" s="5">
        <v>3</v>
      </c>
      <c r="I23" t="s">
        <v>17</v>
      </c>
      <c r="J23" s="10" t="s">
        <v>28</v>
      </c>
      <c r="K23" s="5" t="s">
        <v>19</v>
      </c>
      <c r="L23" s="11">
        <v>9715</v>
      </c>
      <c r="M23" s="11">
        <v>9715</v>
      </c>
      <c r="N23" s="12">
        <f t="shared" si="0"/>
        <v>1</v>
      </c>
    </row>
    <row r="24" spans="1:14">
      <c r="A24" s="5">
        <v>35</v>
      </c>
      <c r="B24" t="s">
        <v>72</v>
      </c>
      <c r="C24" t="s">
        <v>73</v>
      </c>
      <c r="D24" t="str">
        <f>CONCATENATE(Table1[[#This Row],[FirstName]]," ",Table1[[#This Row],[LastName]])</f>
        <v>Tim Warren</v>
      </c>
      <c r="E24" s="6">
        <v>33543</v>
      </c>
      <c r="F24" s="7"/>
      <c r="G24" t="s">
        <v>37</v>
      </c>
      <c r="H24" s="5">
        <v>2</v>
      </c>
      <c r="I24" t="s">
        <v>63</v>
      </c>
      <c r="J24" s="10" t="s">
        <v>64</v>
      </c>
      <c r="K24" s="5" t="s">
        <v>65</v>
      </c>
      <c r="L24" s="11">
        <v>9760</v>
      </c>
      <c r="M24" s="11">
        <v>9760</v>
      </c>
      <c r="N24" s="12">
        <f t="shared" si="0"/>
        <v>1</v>
      </c>
    </row>
    <row r="25" spans="1:14">
      <c r="A25" s="5">
        <v>37</v>
      </c>
      <c r="B25" t="s">
        <v>74</v>
      </c>
      <c r="C25" t="s">
        <v>75</v>
      </c>
      <c r="D25" t="str">
        <f>CONCATENATE(Table1[[#This Row],[FirstName]]," ",Table1[[#This Row],[LastName]])</f>
        <v>Johan Singh</v>
      </c>
      <c r="E25" s="6">
        <v>34313</v>
      </c>
      <c r="F25" s="7"/>
      <c r="G25" t="s">
        <v>37</v>
      </c>
      <c r="H25" s="5">
        <v>2</v>
      </c>
      <c r="I25" t="s">
        <v>63</v>
      </c>
      <c r="J25" s="10" t="s">
        <v>64</v>
      </c>
      <c r="K25" s="5" t="s">
        <v>65</v>
      </c>
      <c r="L25" s="11">
        <v>9760</v>
      </c>
      <c r="M25" s="11">
        <v>3685</v>
      </c>
      <c r="N25" s="12">
        <f t="shared" si="0"/>
        <v>0.377561475409836</v>
      </c>
    </row>
    <row r="26" spans="1:14">
      <c r="A26" s="5">
        <v>45</v>
      </c>
      <c r="B26" t="s">
        <v>76</v>
      </c>
      <c r="C26" t="s">
        <v>77</v>
      </c>
      <c r="D26" t="str">
        <f>CONCATENATE(Table1[[#This Row],[FirstName]]," ",Table1[[#This Row],[LastName]])</f>
        <v>Lynn Walker</v>
      </c>
      <c r="E26" s="6">
        <v>35909</v>
      </c>
      <c r="F26" s="7"/>
      <c r="G26" t="s">
        <v>16</v>
      </c>
      <c r="H26" s="5">
        <v>3</v>
      </c>
      <c r="I26" t="s">
        <v>17</v>
      </c>
      <c r="J26" s="10" t="s">
        <v>28</v>
      </c>
      <c r="K26" s="5" t="s">
        <v>19</v>
      </c>
      <c r="L26" s="11">
        <v>9715</v>
      </c>
      <c r="M26" s="11">
        <v>6520</v>
      </c>
      <c r="N26" s="12">
        <f t="shared" si="0"/>
        <v>0.671127123005661</v>
      </c>
    </row>
    <row r="27" spans="1:14">
      <c r="A27" s="5">
        <v>47</v>
      </c>
      <c r="B27" t="s">
        <v>78</v>
      </c>
      <c r="C27" t="s">
        <v>79</v>
      </c>
      <c r="D27" t="str">
        <f>CONCATENATE(Table1[[#This Row],[FirstName]]," ",Table1[[#This Row],[LastName]])</f>
        <v>Duncan  Spencer</v>
      </c>
      <c r="E27" s="6">
        <v>36458</v>
      </c>
      <c r="F27" s="7"/>
      <c r="G27" t="s">
        <v>16</v>
      </c>
      <c r="H27" s="5">
        <v>1</v>
      </c>
      <c r="I27" t="s">
        <v>17</v>
      </c>
      <c r="J27" s="10" t="s">
        <v>28</v>
      </c>
      <c r="K27" s="5" t="s">
        <v>19</v>
      </c>
      <c r="L27" s="11">
        <v>9715</v>
      </c>
      <c r="M27" s="11">
        <v>8563</v>
      </c>
      <c r="N27" s="12">
        <f t="shared" si="0"/>
        <v>0.881420483787957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7"/>
  <sheetViews>
    <sheetView workbookViewId="0">
      <selection activeCell="A46" sqref="A46"/>
    </sheetView>
  </sheetViews>
  <sheetFormatPr defaultColWidth="9" defaultRowHeight="14.4" outlineLevelCol="2"/>
  <cols>
    <col min="1" max="1" width="13.6666666666667" customWidth="1"/>
    <col min="2" max="2" width="15.3333333333333" customWidth="1"/>
    <col min="3" max="3" width="17.7777777777778" customWidth="1"/>
  </cols>
  <sheetData>
    <row r="3" spans="1:2">
      <c r="A3" t="s">
        <v>80</v>
      </c>
      <c r="B3" t="s">
        <v>81</v>
      </c>
    </row>
    <row r="4" spans="1:2">
      <c r="A4" s="2" t="s">
        <v>17</v>
      </c>
      <c r="B4" s="3">
        <v>196515</v>
      </c>
    </row>
    <row r="5" spans="1:2">
      <c r="A5" s="2" t="s">
        <v>63</v>
      </c>
      <c r="B5" s="3">
        <v>48800</v>
      </c>
    </row>
    <row r="6" spans="1:2">
      <c r="A6" s="2" t="s">
        <v>82</v>
      </c>
      <c r="B6" s="3">
        <v>245315</v>
      </c>
    </row>
    <row r="11" spans="1:2">
      <c r="A11" t="s">
        <v>80</v>
      </c>
      <c r="B11" t="s">
        <v>83</v>
      </c>
    </row>
    <row r="12" spans="1:2">
      <c r="A12" s="2" t="s">
        <v>17</v>
      </c>
      <c r="B12" s="3">
        <v>153633</v>
      </c>
    </row>
    <row r="13" spans="1:2">
      <c r="A13" s="2" t="s">
        <v>63</v>
      </c>
      <c r="B13" s="3">
        <v>39350</v>
      </c>
    </row>
    <row r="14" spans="1:2">
      <c r="A14" s="2" t="s">
        <v>82</v>
      </c>
      <c r="B14" s="3">
        <v>192983</v>
      </c>
    </row>
    <row r="20" spans="1:3">
      <c r="A20" t="s">
        <v>80</v>
      </c>
      <c r="B20" t="s">
        <v>84</v>
      </c>
      <c r="C20" t="s">
        <v>85</v>
      </c>
    </row>
    <row r="21" spans="1:3">
      <c r="A21" s="2" t="s">
        <v>18</v>
      </c>
      <c r="B21" s="3">
        <v>7500</v>
      </c>
      <c r="C21">
        <v>1</v>
      </c>
    </row>
    <row r="22" spans="1:3">
      <c r="A22" s="2" t="s">
        <v>22</v>
      </c>
      <c r="B22" s="3">
        <v>2600</v>
      </c>
      <c r="C22">
        <v>1</v>
      </c>
    </row>
    <row r="23" spans="1:3">
      <c r="A23" s="2" t="s">
        <v>38</v>
      </c>
      <c r="B23" s="3">
        <v>17174</v>
      </c>
      <c r="C23">
        <v>3</v>
      </c>
    </row>
    <row r="24" spans="1:3">
      <c r="A24" s="2" t="s">
        <v>28</v>
      </c>
      <c r="B24" s="3">
        <v>99143</v>
      </c>
      <c r="C24">
        <v>12</v>
      </c>
    </row>
    <row r="25" spans="1:3">
      <c r="A25" s="2" t="s">
        <v>58</v>
      </c>
      <c r="B25" s="3">
        <v>6521</v>
      </c>
      <c r="C25">
        <v>1</v>
      </c>
    </row>
    <row r="26" spans="1:3">
      <c r="A26" s="2" t="s">
        <v>25</v>
      </c>
      <c r="B26" s="3">
        <v>20695</v>
      </c>
      <c r="C26">
        <v>3</v>
      </c>
    </row>
    <row r="27" spans="1:3">
      <c r="A27" s="2" t="s">
        <v>64</v>
      </c>
      <c r="B27" s="3">
        <v>39350</v>
      </c>
      <c r="C27">
        <v>5</v>
      </c>
    </row>
    <row r="28" spans="1:3">
      <c r="A28" s="2" t="s">
        <v>82</v>
      </c>
      <c r="B28" s="3">
        <v>192983</v>
      </c>
      <c r="C28">
        <v>26</v>
      </c>
    </row>
    <row r="30" spans="1:2">
      <c r="A30" t="s">
        <v>80</v>
      </c>
      <c r="B30" t="s">
        <v>86</v>
      </c>
    </row>
    <row r="31" spans="1:2">
      <c r="A31" s="2" t="s">
        <v>19</v>
      </c>
      <c r="B31" s="3">
        <v>136459</v>
      </c>
    </row>
    <row r="32" spans="1:2">
      <c r="A32" s="2" t="s">
        <v>39</v>
      </c>
      <c r="B32" s="3">
        <v>17174</v>
      </c>
    </row>
    <row r="33" spans="1:2">
      <c r="A33" s="2" t="s">
        <v>65</v>
      </c>
      <c r="B33" s="3">
        <v>39350</v>
      </c>
    </row>
    <row r="34" spans="1:2">
      <c r="A34" s="2" t="s">
        <v>82</v>
      </c>
      <c r="B34" s="3">
        <v>192983</v>
      </c>
    </row>
    <row r="37" spans="1:1">
      <c r="A37" t="s">
        <v>87</v>
      </c>
    </row>
    <row r="38" spans="1:1">
      <c r="A38">
        <v>26</v>
      </c>
    </row>
    <row r="39" spans="1:1">
      <c r="A39">
        <f>GETPIVOTDATA("Full Name",$A$37)</f>
        <v>26</v>
      </c>
    </row>
    <row r="42" spans="1:1">
      <c r="A42" t="s">
        <v>83</v>
      </c>
    </row>
    <row r="43" spans="1:1">
      <c r="A43" s="3">
        <v>192983</v>
      </c>
    </row>
    <row r="46" spans="1:1">
      <c r="A46" t="s">
        <v>81</v>
      </c>
    </row>
    <row r="47" spans="1:1">
      <c r="A47" s="3">
        <v>245315</v>
      </c>
    </row>
  </sheetData>
  <pageMargins left="0.7" right="0.7" top="0.75" bottom="0.75" header="0.3" footer="0.3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showGridLines="0" tabSelected="1" zoomScale="90" zoomScaleNormal="90" topLeftCell="A17" workbookViewId="0">
      <selection activeCell="J39" sqref="J39"/>
    </sheetView>
  </sheetViews>
  <sheetFormatPr defaultColWidth="9" defaultRowHeight="14.4"/>
  <cols>
    <col min="1" max="16384" width="8.88888888888889" style="1"/>
  </cols>
  <sheetData/>
  <pageMargins left="0.7" right="0.7" top="0.75" bottom="0.75" header="0.3" footer="0.3"/>
  <pageSetup paperSize="1" scale="4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1" sqref="D11"/>
    </sheetView>
  </sheetViews>
  <sheetFormatPr defaultColWidth="9" defaultRowHeight="14.4" outlineLevelCol="3"/>
  <cols>
    <col min="1" max="1" width="28.8888888888889" customWidth="1"/>
    <col min="2" max="2" width="80.8888888888889" customWidth="1"/>
  </cols>
  <sheetData>
    <row r="1" spans="1:2">
      <c r="A1" t="s">
        <v>88</v>
      </c>
      <c r="B1" t="s">
        <v>89</v>
      </c>
    </row>
    <row r="2" spans="1:2">
      <c r="A2" t="s">
        <v>90</v>
      </c>
      <c r="B2" t="s">
        <v>90</v>
      </c>
    </row>
    <row r="3" spans="1:2">
      <c r="A3" t="s">
        <v>91</v>
      </c>
      <c r="B3" t="s">
        <v>92</v>
      </c>
    </row>
    <row r="4" spans="1:2">
      <c r="A4" t="s">
        <v>93</v>
      </c>
      <c r="B4" t="s">
        <v>94</v>
      </c>
    </row>
    <row r="5" spans="1:2">
      <c r="A5" t="s">
        <v>95</v>
      </c>
      <c r="B5" t="s">
        <v>96</v>
      </c>
    </row>
    <row r="6" spans="1:2">
      <c r="A6" t="s">
        <v>97</v>
      </c>
      <c r="B6" t="s">
        <v>98</v>
      </c>
    </row>
    <row r="7" spans="1:2">
      <c r="A7" t="s">
        <v>99</v>
      </c>
      <c r="B7" t="s">
        <v>100</v>
      </c>
    </row>
    <row r="8" spans="1:2">
      <c r="A8" t="s">
        <v>101</v>
      </c>
      <c r="B8" t="s">
        <v>102</v>
      </c>
    </row>
    <row r="9" spans="1:2">
      <c r="A9" t="s">
        <v>103</v>
      </c>
      <c r="B9" t="s">
        <v>104</v>
      </c>
    </row>
    <row r="10" spans="1:2">
      <c r="A10" t="s">
        <v>105</v>
      </c>
      <c r="B10" t="s">
        <v>106</v>
      </c>
    </row>
    <row r="11" spans="1:4">
      <c r="A11" t="s">
        <v>107</v>
      </c>
      <c r="B11" t="s">
        <v>108</v>
      </c>
      <c r="D11" t="s">
        <v>109</v>
      </c>
    </row>
    <row r="12" spans="1:2">
      <c r="A12" t="s">
        <v>110</v>
      </c>
      <c r="B12" t="s">
        <v>111</v>
      </c>
    </row>
    <row r="13" spans="1:2">
      <c r="A13" t="s">
        <v>112</v>
      </c>
      <c r="B13" t="s">
        <v>112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53F6D-5AE8-4CDF-98CD-46A6EE2220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pivot table</vt:lpstr>
      <vt:lpstr>Dashboard</vt:lpstr>
      <vt:lpstr>UEFA Champions League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divinecharlly4real divinecharlly4real</dc:creator>
  <cp:lastModifiedBy>WPS_1773228688</cp:lastModifiedBy>
  <dcterms:created xsi:type="dcterms:W3CDTF">2026-02-11T14:10:00Z</dcterms:created>
  <cp:lastPrinted>2026-02-16T15:26:00Z</cp:lastPrinted>
  <dcterms:modified xsi:type="dcterms:W3CDTF">2026-03-18T15:37:14Z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12B73B7DC1A349F09C44B6D9CC91F07A_12</vt:lpwstr>
  </property>
  <property fmtid="{D5CDD505-2E9C-101B-9397-08002B2CF9AE}" pid="3" name="KSOProductBuildVer">
    <vt:lpwstr>1033-12.2.0.23196</vt:lpwstr>
  </property>
</Properties>
</file>